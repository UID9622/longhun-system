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技术资产" sheetId="1" state="visible" r:id="rId1"/>
    <sheet xmlns:r="http://schemas.openxmlformats.org/officeDocument/2006/relationships" name="②文化主权" sheetId="2" state="visible" r:id="rId2"/>
    <sheet xmlns:r="http://schemas.openxmlformats.org/officeDocument/2006/relationships" name="③战略叙事" sheetId="3" state="visible" r:id="rId3"/>
    <sheet xmlns:r="http://schemas.openxmlformats.org/officeDocument/2006/relationships" name="④生态潜力" sheetId="4" state="visible" r:id="rId4"/>
    <sheet xmlns:r="http://schemas.openxmlformats.org/officeDocument/2006/relationships" name="⑤汇总·场景" sheetId="5" state="visible" r:id="rId5"/>
    <sheet xmlns:r="http://schemas.openxmlformats.org/officeDocument/2006/relationships" name="⑥敏感性分析" sheetId="6" state="visible" r:id="rId6"/>
    <sheet xmlns:r="http://schemas.openxmlformats.org/officeDocument/2006/relationships" name="⑦风险折价" sheetId="7" state="visible" r:id="rId7"/>
    <sheet xmlns:r="http://schemas.openxmlformats.org/officeDocument/2006/relationships" name="⑧假设与依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</font>
    <font>
      <color rgb="00C00000"/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4" customWidth="1" min="4" max="4"/>
    <col width="16" customWidth="1" min="5" max="5"/>
  </cols>
  <sheetData>
    <row r="1">
      <c r="A1" s="1" t="inlineStr">
        <is>
          <t>🐉 龍魂系统估值模型 v1.1 · ①技术资产（开发成本法）</t>
        </is>
      </c>
    </row>
    <row r="2">
      <c r="A2" s="2" t="inlineStr">
        <is>
          <t>模块</t>
        </is>
      </c>
      <c r="B2" s="2" t="inlineStr">
        <is>
          <t>等效人年</t>
        </is>
      </c>
      <c r="C2" s="2" t="inlineStr">
        <is>
          <t>市场成本(万/人年40万)</t>
        </is>
      </c>
      <c r="D2" s="2" t="inlineStr">
        <is>
          <t>估值贡献(万)</t>
        </is>
      </c>
      <c r="E2" s="2" t="inlineStr">
        <is>
          <t>备注</t>
        </is>
      </c>
    </row>
    <row r="3">
      <c r="A3" s="3" t="inlineStr">
        <is>
          <t>DNA追溯系统</t>
        </is>
      </c>
      <c r="B3" s="3" t="n">
        <v>2</v>
      </c>
      <c r="C3" s="3" t="n">
        <v>40</v>
      </c>
      <c r="D3" s="3">
        <f>B3*C3</f>
        <v/>
      </c>
      <c r="E3" s="3" t="inlineStr">
        <is>
          <t>含测试+文档</t>
        </is>
      </c>
    </row>
    <row r="4">
      <c r="A4" s="3" t="inlineStr">
        <is>
          <t>三色审计引擎</t>
        </is>
      </c>
      <c r="B4" s="3" t="n">
        <v>2</v>
      </c>
      <c r="C4" s="3" t="n">
        <v>40</v>
      </c>
      <c r="D4" s="3">
        <f>B4*C4</f>
        <v/>
      </c>
      <c r="E4" s="3" t="inlineStr">
        <is>
          <t>含测试+文档</t>
        </is>
      </c>
    </row>
    <row r="5">
      <c r="A5" s="3" t="inlineStr">
        <is>
          <t>史官机制·年轮哈希链</t>
        </is>
      </c>
      <c r="B5" s="3" t="n">
        <v>2</v>
      </c>
      <c r="C5" s="3" t="n">
        <v>40</v>
      </c>
      <c r="D5" s="3">
        <f>B5*C5</f>
        <v/>
      </c>
      <c r="E5" s="3" t="inlineStr">
        <is>
          <t>含测试+文档</t>
        </is>
      </c>
    </row>
    <row r="6">
      <c r="A6" s="3" t="inlineStr">
        <is>
          <t>耻辱墙</t>
        </is>
      </c>
      <c r="B6" s="3" t="n">
        <v>0.5</v>
      </c>
      <c r="C6" s="3" t="n">
        <v>40</v>
      </c>
      <c r="D6" s="3">
        <f>B6*C6</f>
        <v/>
      </c>
      <c r="E6" s="3" t="inlineStr">
        <is>
          <t>含测试+文档</t>
        </is>
      </c>
    </row>
    <row r="7">
      <c r="A7" s="3" t="inlineStr">
        <is>
          <t>天干地支时间锚(rizhu v3.0)</t>
        </is>
      </c>
      <c r="B7" s="3" t="n">
        <v>1</v>
      </c>
      <c r="C7" s="3" t="n">
        <v>40</v>
      </c>
      <c r="D7" s="3">
        <f>B7*C7</f>
        <v/>
      </c>
      <c r="E7" s="3" t="inlineStr">
        <is>
          <t>含测试+文档</t>
        </is>
      </c>
    </row>
    <row r="8">
      <c r="A8" s="3" t="inlineStr">
        <is>
          <t>行为密码学七因子</t>
        </is>
      </c>
      <c r="B8" s="3" t="n">
        <v>3</v>
      </c>
      <c r="C8" s="3" t="n">
        <v>40</v>
      </c>
      <c r="D8" s="3">
        <f>B8*C8</f>
        <v/>
      </c>
      <c r="E8" s="3" t="inlineStr">
        <is>
          <t>含测试+文档</t>
        </is>
      </c>
    </row>
    <row r="9">
      <c r="A9" s="3" t="inlineStr">
        <is>
          <t>P0永恒审计三问</t>
        </is>
      </c>
      <c r="B9" s="3" t="n">
        <v>1</v>
      </c>
      <c r="C9" s="3" t="n">
        <v>40</v>
      </c>
      <c r="D9" s="3">
        <f>B9*C9</f>
        <v/>
      </c>
      <c r="E9" s="3" t="inlineStr">
        <is>
          <t>含测试+文档</t>
        </is>
      </c>
    </row>
    <row r="10">
      <c r="A10" s="3" t="inlineStr">
        <is>
          <t>流控模块(Token Bucket)</t>
        </is>
      </c>
      <c r="B10" s="3" t="n">
        <v>1</v>
      </c>
      <c r="C10" s="3" t="n">
        <v>40</v>
      </c>
      <c r="D10" s="3">
        <f>B10*C10</f>
        <v/>
      </c>
      <c r="E10" s="3" t="inlineStr">
        <is>
          <t>含测试+文档</t>
        </is>
      </c>
    </row>
    <row r="11">
      <c r="A11" s="3" t="inlineStr">
        <is>
          <t>鸿蒙车机适配层</t>
        </is>
      </c>
      <c r="B11" s="3" t="n">
        <v>3</v>
      </c>
      <c r="C11" s="3" t="n">
        <v>40</v>
      </c>
      <c r="D11" s="3">
        <f>B11*C11</f>
        <v/>
      </c>
      <c r="E11" s="3" t="inlineStr">
        <is>
          <t>含测试+文档</t>
        </is>
      </c>
    </row>
    <row r="12">
      <c r="A12" s="3" t="inlineStr">
        <is>
          <t>分布式实景导航</t>
        </is>
      </c>
      <c r="B12" s="3" t="n">
        <v>4</v>
      </c>
      <c r="C12" s="3" t="n">
        <v>40</v>
      </c>
      <c r="D12" s="3">
        <f>B12*C12</f>
        <v/>
      </c>
      <c r="E12" s="3" t="inlineStr">
        <is>
          <t>含测试+文档</t>
        </is>
      </c>
    </row>
    <row r="13">
      <c r="A13" s="3" t="inlineStr">
        <is>
          <t>五行调度</t>
        </is>
      </c>
      <c r="B13" s="3" t="n">
        <v>2</v>
      </c>
      <c r="C13" s="3" t="n">
        <v>40</v>
      </c>
      <c r="D13" s="3">
        <f>B13*C13</f>
        <v/>
      </c>
      <c r="E13" s="3" t="inlineStr">
        <is>
          <t>含测试+文档</t>
        </is>
      </c>
    </row>
    <row r="14">
      <c r="A14" s="3" t="inlineStr">
        <is>
          <t>三才算法</t>
        </is>
      </c>
      <c r="B14" s="3" t="n">
        <v>2</v>
      </c>
      <c r="C14" s="3" t="n">
        <v>40</v>
      </c>
      <c r="D14" s="3">
        <f>B14*C14</f>
        <v/>
      </c>
      <c r="E14" s="3" t="inlineStr">
        <is>
          <t>含测试+文档</t>
        </is>
      </c>
    </row>
    <row r="15">
      <c r="A15" s="3" t="inlineStr">
        <is>
          <t>数字根熔断</t>
        </is>
      </c>
      <c r="B15" s="3" t="n">
        <v>1</v>
      </c>
      <c r="C15" s="3" t="n">
        <v>40</v>
      </c>
      <c r="D15" s="3">
        <f>B15*C15</f>
        <v/>
      </c>
      <c r="E15" s="3" t="inlineStr">
        <is>
          <t>含测试+文档</t>
        </is>
      </c>
    </row>
    <row r="16">
      <c r="A16" s="3" t="inlineStr">
        <is>
          <t>道德经81章映射</t>
        </is>
      </c>
      <c r="B16" s="3" t="n">
        <v>2</v>
      </c>
      <c r="C16" s="3" t="n">
        <v>40</v>
      </c>
      <c r="D16" s="3">
        <f>B16*C16</f>
        <v/>
      </c>
      <c r="E16" s="3" t="inlineStr">
        <is>
          <t>含测试+文档</t>
        </is>
      </c>
    </row>
    <row r="17">
      <c r="A17" s="3" t="inlineStr">
        <is>
          <t>CNSH中文命名规范</t>
        </is>
      </c>
      <c r="B17" s="3" t="n">
        <v>2</v>
      </c>
      <c r="C17" s="3" t="n">
        <v>40</v>
      </c>
      <c r="D17" s="3">
        <f>B17*C17</f>
        <v/>
      </c>
      <c r="E17" s="3" t="inlineStr">
        <is>
          <t>含测试+文档</t>
        </is>
      </c>
    </row>
    <row r="18">
      <c r="A18" s="3" t="inlineStr">
        <is>
          <t>低算力内核(已实测)</t>
        </is>
      </c>
      <c r="B18" s="3" t="n">
        <v>4</v>
      </c>
      <c r="C18" s="3" t="n">
        <v>40</v>
      </c>
      <c r="D18" s="3">
        <f>B18*C18</f>
        <v/>
      </c>
      <c r="E18" s="3" t="inlineStr">
        <is>
          <t>含测试+文档</t>
        </is>
      </c>
    </row>
    <row r="19">
      <c r="A19" s="3" t="inlineStr">
        <is>
          <t>资产中心/花名册体系</t>
        </is>
      </c>
      <c r="B19" s="3" t="n">
        <v>2</v>
      </c>
      <c r="C19" s="3" t="n">
        <v>40</v>
      </c>
      <c r="D19" s="3">
        <f>B19*C19</f>
        <v/>
      </c>
      <c r="E19" s="3" t="inlineStr">
        <is>
          <t>含测试+文档</t>
        </is>
      </c>
    </row>
    <row r="20">
      <c r="A20" s="4" t="inlineStr">
        <is>
          <t>小计</t>
        </is>
      </c>
      <c r="B20" s="4">
        <f>SUM(B3:B19)</f>
        <v/>
      </c>
      <c r="C20" s="5" t="n"/>
      <c r="D20" s="4">
        <f>SUM(D3:D19)</f>
        <v/>
      </c>
      <c r="E20" s="5" t="n"/>
    </row>
    <row r="22">
      <c r="A22" s="6" t="inlineStr">
        <is>
          <t>系数调整</t>
        </is>
      </c>
    </row>
    <row r="23">
      <c r="A23" s="3" t="inlineStr">
        <is>
          <t>原创性溢价(行业唯一)</t>
        </is>
      </c>
      <c r="B23" s="3" t="n">
        <v>2</v>
      </c>
    </row>
    <row r="24">
      <c r="A24" s="3" t="inlineStr">
        <is>
          <t>代码质量(实测验证+文档)</t>
        </is>
      </c>
      <c r="B24" s="3" t="n">
        <v>1.5</v>
      </c>
    </row>
    <row r="25">
      <c r="A25" s="3" t="inlineStr">
        <is>
          <t>主权锚定不可复制性</t>
        </is>
      </c>
      <c r="B25" s="3" t="n">
        <v>1.5</v>
      </c>
    </row>
    <row r="26">
      <c r="A26" s="6" t="inlineStr">
        <is>
          <t>技术资产估值(万)</t>
        </is>
      </c>
      <c r="B26" s="7">
        <f>D20*B23*B24*B25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6" customWidth="1" min="3" max="3"/>
  </cols>
  <sheetData>
    <row r="1">
      <c r="A1" s="1" t="inlineStr">
        <is>
          <t>②文化主权价值</t>
        </is>
      </c>
    </row>
    <row r="2">
      <c r="A2" s="2" t="inlineStr">
        <is>
          <t>资产</t>
        </is>
      </c>
      <c r="B2" s="2" t="inlineStr">
        <is>
          <t>价值来源/依据</t>
        </is>
      </c>
      <c r="C2" s="2" t="inlineStr">
        <is>
          <t>等效估值(万)</t>
        </is>
      </c>
    </row>
    <row r="3">
      <c r="A3" s="3" t="inlineStr">
        <is>
          <t>道德经81章系统级映射</t>
        </is>
      </c>
      <c r="B3" s="3" t="inlineStr">
        <is>
          <t>全球唯一将道德经作为系统底层锚</t>
        </is>
      </c>
      <c r="C3" s="3" t="n">
        <v>500</v>
      </c>
    </row>
    <row r="4">
      <c r="A4" s="3" t="inlineStr">
        <is>
          <t>天干地支时间锚</t>
        </is>
      </c>
      <c r="B4" s="3" t="inlineStr">
        <is>
          <t>非西方时间体系的系统锚(rizhu v3.0已算法化)</t>
        </is>
      </c>
      <c r="C4" s="3" t="n">
        <v>300</v>
      </c>
    </row>
    <row r="5">
      <c r="A5" s="3" t="inlineStr">
        <is>
          <t>洛书369不动点</t>
        </is>
      </c>
      <c r="B5" s="3" t="inlineStr">
        <is>
          <t>河图洛书做AI决策不变量</t>
        </is>
      </c>
      <c r="C5" s="3" t="n">
        <v>500</v>
      </c>
    </row>
    <row r="6">
      <c r="A6" s="3" t="inlineStr">
        <is>
          <t>五行调度</t>
        </is>
      </c>
      <c r="B6" s="3" t="inlineStr">
        <is>
          <t>五行做资源调度</t>
        </is>
      </c>
      <c r="C6" s="3" t="n">
        <v>300</v>
      </c>
    </row>
    <row r="7">
      <c r="A7" s="3" t="inlineStr">
        <is>
          <t>CNSH中文编程</t>
        </is>
      </c>
      <c r="B7" s="3" t="inlineStr">
        <is>
          <t>中文原生命名编程体系+编译器</t>
        </is>
      </c>
      <c r="C7" s="3" t="n">
        <v>800</v>
      </c>
    </row>
    <row r="8">
      <c r="A8" s="3" t="inlineStr">
        <is>
          <t>繁体龍字主权标识</t>
        </is>
      </c>
      <c r="B8" s="3" t="inlineStr">
        <is>
          <t>文化主权视觉锚</t>
        </is>
      </c>
      <c r="C8" s="3" t="n">
        <v>200</v>
      </c>
    </row>
    <row r="9">
      <c r="A9" s="4" t="inlineStr">
        <is>
          <t>小计</t>
        </is>
      </c>
      <c r="B9" s="5" t="n"/>
      <c r="C9" s="4">
        <f>SUM(C3:C8)</f>
        <v/>
      </c>
    </row>
    <row r="11">
      <c r="A11" s="6" t="inlineStr">
        <is>
          <t>调整系数</t>
        </is>
      </c>
    </row>
    <row r="12">
      <c r="A12" s="3" t="inlineStr">
        <is>
          <t>文化主权不可复制性</t>
        </is>
      </c>
      <c r="B12" s="3" t="n">
        <v>2</v>
      </c>
    </row>
    <row r="13">
      <c r="A13" s="6" t="inlineStr">
        <is>
          <t>维度估值(万)</t>
        </is>
      </c>
      <c r="B13" s="7">
        <f>C9*B12</f>
        <v/>
      </c>
    </row>
    <row r="14">
      <c r="A14" s="8" t="inlineStr">
        <is>
          <t>🟡 价值来源为自我声明口径，无第三方评估，详见风险折价表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6" customWidth="1" min="3" max="3"/>
  </cols>
  <sheetData>
    <row r="1">
      <c r="A1" s="1" t="inlineStr">
        <is>
          <t>③战略叙事价值</t>
        </is>
      </c>
    </row>
    <row r="2">
      <c r="A2" s="2" t="inlineStr">
        <is>
          <t>资产</t>
        </is>
      </c>
      <c r="B2" s="2" t="inlineStr">
        <is>
          <t>价值来源/依据</t>
        </is>
      </c>
      <c r="C2" s="2" t="inlineStr">
        <is>
          <t>等效估值(万)</t>
        </is>
      </c>
    </row>
    <row r="3">
      <c r="A3" s="3" t="inlineStr">
        <is>
          <t>低算力反叙事</t>
        </is>
      </c>
      <c r="B3" s="3" t="inlineStr">
        <is>
          <t>唯一提出低算力立场+可验证实测报告</t>
        </is>
      </c>
      <c r="C3" s="3" t="n">
        <v>1000</v>
      </c>
    </row>
    <row r="4">
      <c r="A4" s="3" t="inlineStr">
        <is>
          <t>数据主权立场</t>
        </is>
      </c>
      <c r="B4" s="3" t="inlineStr">
        <is>
          <t>数据主权写进系统底层</t>
        </is>
      </c>
      <c r="C4" s="3" t="n">
        <v>2000</v>
      </c>
    </row>
    <row r="5">
      <c r="A5" s="3" t="inlineStr">
        <is>
          <t>退伍军人16年身份背书</t>
        </is>
      </c>
      <c r="B5" s="3" t="inlineStr">
        <is>
          <t>不可复制身份资产</t>
        </is>
      </c>
      <c r="C5" s="3" t="n">
        <v>500</v>
      </c>
    </row>
    <row r="6">
      <c r="A6" s="3" t="inlineStr">
        <is>
          <t>UID9622个人IP</t>
        </is>
      </c>
      <c r="B6" s="3" t="inlineStr">
        <is>
          <t>CSDN总排名12,631·GitHub/Gitee/GitCode三仓</t>
        </is>
      </c>
      <c r="C6" s="3" t="n">
        <v>300</v>
      </c>
    </row>
    <row r="7">
      <c r="A7" s="4" t="inlineStr">
        <is>
          <t>小计</t>
        </is>
      </c>
      <c r="B7" s="5" t="n"/>
      <c r="C7" s="4">
        <f>SUM(C3:C6)</f>
        <v/>
      </c>
    </row>
    <row r="9">
      <c r="A9" s="6" t="inlineStr">
        <is>
          <t>调整系数</t>
        </is>
      </c>
    </row>
    <row r="10">
      <c r="A10" s="3" t="inlineStr">
        <is>
          <t>叙事唯一性</t>
        </is>
      </c>
      <c r="B10" s="3" t="n">
        <v>1.5</v>
      </c>
    </row>
    <row r="11">
      <c r="A11" s="6" t="inlineStr">
        <is>
          <t>维度估值(万)</t>
        </is>
      </c>
      <c r="B11" s="7">
        <f>C7*B10</f>
        <v/>
      </c>
    </row>
    <row r="12">
      <c r="A12" s="8" t="inlineStr">
        <is>
          <t>🟡 叙事价值≠现金价值，仅在融资/合作场景可兑现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6" customWidth="1" min="3" max="3"/>
  </cols>
  <sheetData>
    <row r="1">
      <c r="A1" s="1" t="inlineStr">
        <is>
          <t>④潜在生态价值</t>
        </is>
      </c>
    </row>
    <row r="2">
      <c r="A2" s="2" t="inlineStr">
        <is>
          <t>资产</t>
        </is>
      </c>
      <c r="B2" s="2" t="inlineStr">
        <is>
          <t>价值来源/依据</t>
        </is>
      </c>
      <c r="C2" s="2" t="inlineStr">
        <is>
          <t>等效估值(万)</t>
        </is>
      </c>
    </row>
    <row r="3">
      <c r="A3" s="3" t="inlineStr">
        <is>
          <t>政务信息化</t>
        </is>
      </c>
      <c r="B3" s="3" t="inlineStr">
        <is>
          <t>100亿/年市场×0.1%</t>
        </is>
      </c>
      <c r="C3" s="3" t="n">
        <v>1000</v>
      </c>
    </row>
    <row r="4">
      <c r="A4" s="3" t="inlineStr">
        <is>
          <t>军工/涉密系统</t>
        </is>
      </c>
      <c r="B4" s="3" t="inlineStr">
        <is>
          <t>50亿/年市场×0.1%</t>
        </is>
      </c>
      <c r="C4" s="3" t="n">
        <v>500</v>
      </c>
    </row>
    <row r="5">
      <c r="A5" s="3" t="inlineStr">
        <is>
          <t>国产车机系统</t>
        </is>
      </c>
      <c r="B5" s="3" t="inlineStr">
        <is>
          <t>200亿/年市场×0.05%</t>
        </is>
      </c>
      <c r="C5" s="3" t="n">
        <v>1000</v>
      </c>
    </row>
    <row r="6">
      <c r="A6" s="3" t="inlineStr">
        <is>
          <t>个人开发者工具</t>
        </is>
      </c>
      <c r="B6" s="3" t="inlineStr">
        <is>
          <t>20亿/年市场×0.5%</t>
        </is>
      </c>
      <c r="C6" s="3" t="n">
        <v>1000</v>
      </c>
    </row>
    <row r="7">
      <c r="A7" s="3" t="inlineStr">
        <is>
          <t>AI治理/审计</t>
        </is>
      </c>
      <c r="B7" s="3" t="inlineStr">
        <is>
          <t>30亿/年市场×0.2%</t>
        </is>
      </c>
      <c r="C7" s="3" t="n">
        <v>600</v>
      </c>
    </row>
    <row r="8">
      <c r="A8" s="4" t="inlineStr">
        <is>
          <t>小计</t>
        </is>
      </c>
      <c r="B8" s="5" t="n"/>
      <c r="C8" s="4">
        <f>SUM(C3:C7)</f>
        <v/>
      </c>
    </row>
    <row r="10">
      <c r="A10" s="6" t="inlineStr">
        <is>
          <t>调整系数</t>
        </is>
      </c>
    </row>
    <row r="11">
      <c r="A11" s="3" t="inlineStr">
        <is>
          <t>时间杠杆(10年窗口)</t>
        </is>
      </c>
      <c r="B11" s="3" t="n">
        <v>3</v>
      </c>
    </row>
    <row r="12">
      <c r="A12" s="3" t="inlineStr">
        <is>
          <t>落地概率折价(未获任何订单)</t>
        </is>
      </c>
      <c r="B12" s="3" t="n">
        <v>0.3</v>
      </c>
    </row>
    <row r="13">
      <c r="A13" s="6" t="inlineStr">
        <is>
          <t>维度估值(万)</t>
        </is>
      </c>
      <c r="B13" s="7">
        <f>C8*B11*B12</f>
        <v/>
      </c>
    </row>
    <row r="14">
      <c r="A14" s="8" t="inlineStr">
        <is>
          <t>🔴 v1.1新增落地概率折价×0.3：目前零订单零收入，原稿×3不打折过于乐观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22" customWidth="1" min="5" max="5"/>
    <col width="42" customWidth="1" min="6" max="6"/>
    <col width="20" customWidth="1" min="7" max="7"/>
  </cols>
  <sheetData>
    <row r="1">
      <c r="A1" s="1" t="inlineStr">
        <is>
          <t>🐉 总估值汇总（v1.1 修正口径）</t>
        </is>
      </c>
    </row>
    <row r="2">
      <c r="A2" s="2" t="inlineStr">
        <is>
          <t>维度</t>
        </is>
      </c>
      <c r="B2" s="2" t="inlineStr">
        <is>
          <t>原稿估值(万)</t>
        </is>
      </c>
      <c r="C2" s="2" t="inlineStr">
        <is>
          <t>v1.1估值(万)</t>
        </is>
      </c>
      <c r="D2" s="2" t="inlineStr">
        <is>
          <t>权重</t>
        </is>
      </c>
      <c r="E2" s="2" t="inlineStr">
        <is>
          <t>原稿加权(万)</t>
        </is>
      </c>
      <c r="F2" s="2" t="inlineStr">
        <is>
          <t>v1.1加权(万)</t>
        </is>
      </c>
      <c r="G2" s="2" t="inlineStr">
        <is>
          <t>修正说明</t>
        </is>
      </c>
    </row>
    <row r="3">
      <c r="A3" s="3" t="inlineStr">
        <is>
          <t>①技术资产</t>
        </is>
      </c>
      <c r="B3" s="3" t="n">
        <v>6210</v>
      </c>
      <c r="C3" s="3">
        <f>'①技术资产'!B26</f>
        <v/>
      </c>
      <c r="D3" s="3" t="n">
        <v>0.3</v>
      </c>
      <c r="E3" s="3">
        <f>B3*D3</f>
        <v/>
      </c>
      <c r="F3" s="3">
        <f>C3*D3</f>
        <v/>
      </c>
      <c r="G3" s="3" t="inlineStr">
        <is>
          <t>① 原稿17模块→v1.1补资产中心模块，口径不变</t>
        </is>
      </c>
    </row>
    <row r="4">
      <c r="A4" s="3" t="inlineStr">
        <is>
          <t>②文化主权</t>
        </is>
      </c>
      <c r="B4" s="3" t="n">
        <v>5200</v>
      </c>
      <c r="C4" s="3">
        <f>'②文化主权'!B13</f>
        <v/>
      </c>
      <c r="D4" s="3" t="n">
        <v>0.25</v>
      </c>
      <c r="E4" s="3">
        <f>B4*D4</f>
        <v/>
      </c>
      <c r="F4" s="3">
        <f>C4*D4</f>
        <v/>
      </c>
      <c r="G4" s="3" t="inlineStr">
        <is>
          <t>系数不变</t>
        </is>
      </c>
    </row>
    <row r="5">
      <c r="A5" s="3" t="inlineStr">
        <is>
          <t>③战略叙事</t>
        </is>
      </c>
      <c r="B5" s="3" t="n">
        <v>5700</v>
      </c>
      <c r="C5" s="3">
        <f>'③战略叙事'!B11</f>
        <v/>
      </c>
      <c r="D5" s="3" t="n">
        <v>0.25</v>
      </c>
      <c r="E5" s="3">
        <f>B5*D5</f>
        <v/>
      </c>
      <c r="F5" s="3">
        <f>C5*D5</f>
        <v/>
      </c>
      <c r="G5" s="3" t="inlineStr">
        <is>
          <t>系数不变</t>
        </is>
      </c>
    </row>
    <row r="6">
      <c r="A6" s="3" t="inlineStr">
        <is>
          <t>④生态潜力</t>
        </is>
      </c>
      <c r="B6" s="3" t="n">
        <v>12300</v>
      </c>
      <c r="C6" s="3">
        <f>'④生态潜力'!B13</f>
        <v/>
      </c>
      <c r="D6" s="3" t="n">
        <v>0.2</v>
      </c>
      <c r="E6" s="3">
        <f>B6*D6</f>
        <v/>
      </c>
      <c r="F6" s="3">
        <f>C6*D6</f>
        <v/>
      </c>
      <c r="G6" s="3" t="inlineStr">
        <is>
          <t>🔴 新增落地概率折价×0.3：零订单零收入，12,300→3,690</t>
        </is>
      </c>
    </row>
    <row r="7">
      <c r="A7" s="4" t="inlineStr">
        <is>
          <t>合计</t>
        </is>
      </c>
      <c r="B7" s="4">
        <f>SUM(B3:B6)</f>
        <v/>
      </c>
      <c r="C7" s="4">
        <f>SUM(C3:C6)</f>
        <v/>
      </c>
      <c r="D7" s="5">
        <f>SUM(D3:D6)</f>
        <v/>
      </c>
      <c r="E7" s="4">
        <f>SUM(E3:E6)</f>
        <v/>
      </c>
      <c r="F7" s="4">
        <f>SUM(F3:F6)</f>
        <v/>
      </c>
      <c r="G7" s="5" t="n"/>
    </row>
    <row r="9">
      <c r="A9" s="9" t="inlineStr">
        <is>
          <t>场景估值区间（v1.1）</t>
        </is>
      </c>
    </row>
    <row r="10">
      <c r="A10" s="2" t="inlineStr">
        <is>
          <t>场景</t>
        </is>
      </c>
      <c r="B10" s="2" t="inlineStr">
        <is>
          <t>计算口径</t>
        </is>
      </c>
      <c r="C10" s="2" t="inlineStr">
        <is>
          <t>估值(万)</t>
        </is>
      </c>
      <c r="D10" s="2" t="inlineStr">
        <is>
          <t>约合</t>
        </is>
      </c>
      <c r="E10" s="2" t="n"/>
      <c r="F10" s="2" t="n"/>
      <c r="G10" s="2" t="n"/>
    </row>
    <row r="11">
      <c r="A11" s="3" t="inlineStr">
        <is>
          <t>极度保守</t>
        </is>
      </c>
      <c r="B11" s="3" t="inlineStr">
        <is>
          <t>仅34.5人年直接工作量</t>
        </is>
      </c>
      <c r="C11" s="3">
        <f>'①技术资产'!D20</f>
        <v/>
      </c>
      <c r="D11" s="3" t="inlineStr">
        <is>
          <t>≈0.16亿</t>
        </is>
      </c>
    </row>
    <row r="12">
      <c r="A12" s="3" t="inlineStr">
        <is>
          <t>保守</t>
        </is>
      </c>
      <c r="B12" s="3" t="inlineStr">
        <is>
          <t>技术资产+文化主权</t>
        </is>
      </c>
      <c r="C12" s="3">
        <f>'①技术资产'!B26+'②文化主权'!B13</f>
        <v/>
      </c>
      <c r="D12" s="3" t="inlineStr">
        <is>
          <t>≈1.14亿</t>
        </is>
      </c>
    </row>
    <row r="13">
      <c r="A13" s="3" t="inlineStr">
        <is>
          <t>合理</t>
        </is>
      </c>
      <c r="B13" s="3" t="inlineStr">
        <is>
          <t>+战略叙事</t>
        </is>
      </c>
      <c r="C13" s="3">
        <f>'①技术资产'!B26+'②文化主权'!B13+'③战略叙事'!B11</f>
        <v/>
      </c>
      <c r="D13" s="3" t="inlineStr">
        <is>
          <t>≈1.71亿</t>
        </is>
      </c>
    </row>
    <row r="14">
      <c r="A14" s="3" t="inlineStr">
        <is>
          <t>乐观(v1.1修正)</t>
        </is>
      </c>
      <c r="B14" s="3" t="inlineStr">
        <is>
          <t>+生态潜力(已折价)</t>
        </is>
      </c>
      <c r="C14" s="3">
        <f>C7</f>
        <v/>
      </c>
      <c r="D14" s="3" t="inlineStr">
        <is>
          <t>≈2.08亿</t>
        </is>
      </c>
    </row>
    <row r="15">
      <c r="A15" s="3" t="inlineStr">
        <is>
          <t>加权基准(推荐口径)</t>
        </is>
      </c>
      <c r="B15" s="3" t="inlineStr">
        <is>
          <t>四维度加权</t>
        </is>
      </c>
      <c r="C15" s="3">
        <f>F7</f>
        <v/>
      </c>
      <c r="D15" s="3" t="inlineStr">
        <is>
          <t>≈0.53亿</t>
        </is>
      </c>
    </row>
    <row r="16">
      <c r="A16" s="3" t="inlineStr">
        <is>
          <t>战略愿景</t>
        </is>
      </c>
      <c r="B16" s="3" t="inlineStr">
        <is>
          <t>成功切入选一赛道(5年)</t>
        </is>
      </c>
      <c r="C16" s="3" t="inlineStr">
        <is>
          <t>—</t>
        </is>
      </c>
      <c r="D16" s="3" t="inlineStr">
        <is>
          <t>5亿+(愿景非估值)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⑥敏感性分析：落地概率折价 × 时间杠杆 对生态估值的影响（万元）</t>
        </is>
      </c>
    </row>
    <row r="2">
      <c r="A2" s="2" t="inlineStr">
        <is>
          <t>生态基数4,100万 ↓折价 / →时间杠杆</t>
        </is>
      </c>
      <c r="B2" s="2" t="n">
        <v>1</v>
      </c>
      <c r="C2" s="2" t="n">
        <v>1.5</v>
      </c>
      <c r="D2" s="2" t="n">
        <v>2</v>
      </c>
      <c r="E2" s="2" t="n">
        <v>3</v>
      </c>
    </row>
    <row r="3">
      <c r="A3" s="3" t="inlineStr">
        <is>
          <t>折价×0.1</t>
        </is>
      </c>
      <c r="B3" s="10" t="n">
        <v>410</v>
      </c>
      <c r="C3" s="10" t="n">
        <v>615</v>
      </c>
      <c r="D3" s="10" t="n">
        <v>820</v>
      </c>
      <c r="E3" s="10" t="n">
        <v>1230</v>
      </c>
    </row>
    <row r="4">
      <c r="A4" s="3" t="inlineStr">
        <is>
          <t>折价×0.2</t>
        </is>
      </c>
      <c r="B4" s="10" t="n">
        <v>820</v>
      </c>
      <c r="C4" s="10" t="n">
        <v>1230</v>
      </c>
      <c r="D4" s="10" t="n">
        <v>1640</v>
      </c>
      <c r="E4" s="10" t="n">
        <v>2460</v>
      </c>
    </row>
    <row r="5">
      <c r="A5" s="3" t="inlineStr">
        <is>
          <t>折价×0.3</t>
        </is>
      </c>
      <c r="B5" s="10" t="n">
        <v>1230</v>
      </c>
      <c r="C5" s="10" t="n">
        <v>1845</v>
      </c>
      <c r="D5" s="10" t="n">
        <v>2460</v>
      </c>
      <c r="E5" s="10" t="n">
        <v>3690</v>
      </c>
    </row>
    <row r="6">
      <c r="A6" s="3" t="inlineStr">
        <is>
          <t>折价×0.5</t>
        </is>
      </c>
      <c r="B6" s="10" t="n">
        <v>2050</v>
      </c>
      <c r="C6" s="10" t="n">
        <v>3075</v>
      </c>
      <c r="D6" s="10" t="n">
        <v>4100</v>
      </c>
      <c r="E6" s="10" t="n">
        <v>6150</v>
      </c>
    </row>
    <row r="7">
      <c r="A7" s="3" t="inlineStr">
        <is>
          <t>折价×1.0</t>
        </is>
      </c>
      <c r="B7" s="10" t="n">
        <v>4100</v>
      </c>
      <c r="C7" s="10" t="n">
        <v>6150</v>
      </c>
      <c r="D7" s="10" t="n">
        <v>8200</v>
      </c>
      <c r="E7" s="10" t="n">
        <v>12300</v>
      </c>
    </row>
    <row r="9">
      <c r="A9" s="8" t="inlineStr">
        <is>
          <t>原稿取值：折价×1.0·杠杆×3.0=12,300万（右上）；v1.1取值：×0.3·×3.0=3,690万（中）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44" customWidth="1" min="3" max="3"/>
    <col width="30" customWidth="1" min="4" max="4"/>
  </cols>
  <sheetData>
    <row r="1">
      <c r="A1" s="1" t="inlineStr">
        <is>
          <t>⑦风险登记与折价</t>
        </is>
      </c>
    </row>
    <row r="2">
      <c r="A2" s="2" t="inlineStr">
        <is>
          <t>风险</t>
        </is>
      </c>
      <c r="B2" s="2" t="inlineStr">
        <is>
          <t>级别</t>
        </is>
      </c>
      <c r="C2" s="2" t="inlineStr">
        <is>
          <t>对估值影响</t>
        </is>
      </c>
      <c r="D2" s="2" t="inlineStr">
        <is>
          <t>应对</t>
        </is>
      </c>
    </row>
    <row r="3">
      <c r="A3" s="3" t="inlineStr">
        <is>
          <t>零商业化收入/零订单</t>
        </is>
      </c>
      <c r="B3" s="3" t="inlineStr">
        <is>
          <t>🔴</t>
        </is>
      </c>
      <c r="C3" s="3" t="inlineStr">
        <is>
          <t>生态维度必须折价(已×0.3)</t>
        </is>
      </c>
      <c r="D3" s="3" t="inlineStr">
        <is>
          <t>先拿1个标杆客户再谈溢价</t>
        </is>
      </c>
    </row>
    <row r="4">
      <c r="A4" s="3" t="inlineStr">
        <is>
          <t>单人项目(一人团队)</t>
        </is>
      </c>
      <c r="B4" s="3" t="inlineStr">
        <is>
          <t>🔴</t>
        </is>
      </c>
      <c r="C4" s="3" t="inlineStr">
        <is>
          <t>流动性折价：融资时再×0.5–0.7</t>
        </is>
      </c>
      <c r="D4" s="3" t="inlineStr">
        <is>
          <t>组建团队/注册主体</t>
        </is>
      </c>
    </row>
    <row r="5">
      <c r="A5" s="3" t="inlineStr">
        <is>
          <t>估值方法非标准(非DCF/非可比交易)</t>
        </is>
      </c>
      <c r="B5" s="3" t="inlineStr">
        <is>
          <t>🟡</t>
        </is>
      </c>
      <c r="C5" s="3" t="inlineStr">
        <is>
          <t>结果仅供战略叙事参考，不可用于交易定价</t>
        </is>
      </c>
      <c r="D5" s="3" t="inlineStr">
        <is>
          <t>融资时请第三方评估机构</t>
        </is>
      </c>
    </row>
    <row r="6">
      <c r="A6" s="3" t="inlineStr">
        <is>
          <t>对标公司估值为媒体口径</t>
        </is>
      </c>
      <c r="B6" s="3" t="inlineStr">
        <is>
          <t>🟡</t>
        </is>
      </c>
      <c r="C6" s="3" t="inlineStr">
        <is>
          <t>对标表仅数量级参考</t>
        </is>
      </c>
      <c r="D6" s="3" t="inlineStr">
        <is>
          <t>引用时附出处</t>
        </is>
      </c>
    </row>
    <row r="7">
      <c r="A7" s="3" t="inlineStr">
        <is>
          <t>开源(MulanPSL/MIT)降低独占性</t>
        </is>
      </c>
      <c r="B7" s="3" t="inlineStr">
        <is>
          <t>🟡</t>
        </is>
      </c>
      <c r="C7" s="3" t="inlineStr">
        <is>
          <t>技术资产变现路径受限</t>
        </is>
      </c>
      <c r="D7" s="3" t="inlineStr">
        <is>
          <t>服务/咨询/认证商业模式</t>
        </is>
      </c>
    </row>
    <row r="8">
      <c r="A8" s="3" t="inlineStr">
        <is>
          <t>手写干支签名纪律反复违规</t>
        </is>
      </c>
      <c r="B8" s="3" t="inlineStr">
        <is>
          <t>🟡</t>
        </is>
      </c>
      <c r="C8" s="3" t="inlineStr">
        <is>
          <t>治理信任折价</t>
        </is>
      </c>
      <c r="D8" s="3" t="inlineStr">
        <is>
          <t>签名全算法化(已修)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52" customWidth="1" min="3" max="3"/>
    <col width="18" customWidth="1" min="4" max="4"/>
  </cols>
  <sheetData>
    <row r="1">
      <c r="A1" s="1" t="inlineStr">
        <is>
          <t>⑧关键假设与依据明细</t>
        </is>
      </c>
    </row>
    <row r="2">
      <c r="A2" s="2" t="inlineStr">
        <is>
          <t>假设</t>
        </is>
      </c>
      <c r="B2" s="2" t="inlineStr">
        <is>
          <t>取值</t>
        </is>
      </c>
      <c r="C2" s="2" t="inlineStr">
        <is>
          <t>依据/来源</t>
        </is>
      </c>
      <c r="D2" s="2" t="inlineStr">
        <is>
          <t>核验状态</t>
        </is>
      </c>
    </row>
    <row r="3">
      <c r="A3" s="3" t="inlineStr">
        <is>
          <t>人年单价</t>
        </is>
      </c>
      <c r="B3" s="3" t="inlineStr">
        <is>
          <t>40万/人年</t>
        </is>
      </c>
      <c r="C3" s="3" t="inlineStr">
        <is>
          <t>国内资深工程师全成本(工资+社保+管理)常见区间30–50万</t>
        </is>
      </c>
      <c r="D3" s="3" t="inlineStr">
        <is>
          <t>🟡 行业惯例估算</t>
        </is>
      </c>
    </row>
    <row r="4">
      <c r="A4" s="3" t="inlineStr">
        <is>
          <t>技术工作量</t>
        </is>
      </c>
      <c r="B4" s="3" t="inlineStr">
        <is>
          <t>34.5人年</t>
        </is>
      </c>
      <c r="C4" s="3" t="inlineStr">
        <is>
          <t>按17个模块逐个估，与13,800+行代码/185+协议规模自洽</t>
        </is>
      </c>
      <c r="D4" s="3" t="inlineStr">
        <is>
          <t>🟡 自评</t>
        </is>
      </c>
    </row>
    <row r="5">
      <c r="A5" s="3" t="inlineStr">
        <is>
          <t>原创性溢价</t>
        </is>
      </c>
      <c r="B5" s="3" t="inlineStr">
        <is>
          <t>×2.0</t>
        </is>
      </c>
      <c r="C5" s="3" t="inlineStr">
        <is>
          <t>无同类可比系统的定性判断</t>
        </is>
      </c>
      <c r="D5" s="3" t="inlineStr">
        <is>
          <t>🟡 主观</t>
        </is>
      </c>
    </row>
    <row r="6">
      <c r="A6" s="3" t="inlineStr">
        <is>
          <t>生态市场规模</t>
        </is>
      </c>
      <c r="B6" s="3" t="inlineStr">
        <is>
          <t>20–200亿/年</t>
        </is>
      </c>
      <c r="C6" s="3" t="inlineStr">
        <is>
          <t>政务/车机/AI治理公开市场研究数量级</t>
        </is>
      </c>
      <c r="D6" s="3" t="inlineStr">
        <is>
          <t>🟡 待核原始报告</t>
        </is>
      </c>
    </row>
    <row r="7">
      <c r="A7" s="3" t="inlineStr">
        <is>
          <t>落地概率折价</t>
        </is>
      </c>
      <c r="B7" s="3" t="inlineStr">
        <is>
          <t>×0.3</t>
        </is>
      </c>
      <c r="C7" s="3" t="inlineStr">
        <is>
          <t>当前零订单零收入，v1.1新增</t>
        </is>
      </c>
      <c r="D7" s="3" t="inlineStr">
        <is>
          <t>✅ 事实依据</t>
        </is>
      </c>
    </row>
    <row r="8">
      <c r="A8" s="3" t="inlineStr">
        <is>
          <t>龍魂低算力实测</t>
        </is>
      </c>
      <c r="B8" s="3" t="inlineStr">
        <is>
          <t>113MB/32.7万token每秒</t>
        </is>
      </c>
      <c r="C8" s="3" t="inlineStr">
        <is>
          <t>2026-08-11沙箱实测报告</t>
        </is>
      </c>
      <c r="D8" s="3" t="inlineStr">
        <is>
          <t>✅ 已实测</t>
        </is>
      </c>
    </row>
    <row r="9">
      <c r="A9" s="3" t="inlineStr">
        <is>
          <t>全网公开资产</t>
        </is>
      </c>
      <c r="B9" s="3" t="inlineStr">
        <is>
          <t>GitHub/Gitee/GitCode/CSDN等</t>
        </is>
      </c>
      <c r="C9" s="3" t="inlineStr">
        <is>
          <t>2026-08-11全网检索对齐</t>
        </is>
      </c>
      <c r="D9" s="3" t="inlineStr">
        <is>
          <t>✅ 已核实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2026-08-11T10:18:44Z</dcterms:created>
  <dcterms:modified xmlns:dcterms="http://purl.org/dc/terms/" xmlns:xsi="http://www.w3.org/2001/XMLSchema-instance" xsi:type="dcterms:W3CDTF">2026-08-11T10:24:00Z</dcterms:modified>
</cp:coreProperties>
</file>